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UI/images/fotoR.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customUI/images/foto.PNG" ContentType="image/.png"/>
  <Override PartName="/customUI/images/EXL.png" ContentType="image/.pn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customUI/images/BI.png" ContentType="image/.png"/>
  <Override PartName="/customUI/images/PQ.png" ContentType="image/.png"/>
  <Override PartName="/customUI/images/PP.png" ContentType="image/.p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customUI/images/FB.png" ContentType="image/.png"/>
  <Override PartName="/customUI/images/PL.png" ContentType="image/.png"/>
  <Override PartName="/customUI/images/GR.png" ContentType="image/.png"/>
  <Override PartName="/xl/sharedStrings.xml" ContentType="application/vnd.openxmlformats-officedocument.spreadsheetml.sharedStrings+xml"/>
  <Override PartName="/customUI/images/DB.png" ContentType="image/.png"/>
  <Override PartName="/customUI/images/EXLA.png" ContentType="image/.png"/>
  <Override PartName="/customUI/images/min.png" ContentType="image/.png"/>
  <Override PartName="/customUI/images/DLD.png" ContentType="image/.png"/>
  <Override PartName="/customUI/images/LK.png" ContentType="image/.png"/>
  <Override PartName="/customUI/images/YT.png" ContentType="image/.png"/>
  <Override PartName="/customUI/images/goog.png" ContentType="image/.p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20a8439a940c6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19200" windowHeight="7305"/>
  </bookViews>
  <sheets>
    <sheet name="Atalhos - Parte 1 (ctrl)" sheetId="2" r:id="rId1"/>
    <sheet name="Atalhos - Parte 2 (alt)" sheetId="1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2"/>
  <c r="N6" l="1"/>
  <c r="D5" l="1"/>
  <c r="D6" s="1"/>
  <c r="D7" s="1"/>
  <c r="D8" s="1"/>
  <c r="D9" s="1"/>
  <c r="D10" s="1"/>
  <c r="D11" s="1"/>
  <c r="D12" s="1"/>
  <c r="D13" s="1"/>
  <c r="D14" s="1"/>
  <c r="D15" s="1"/>
  <c r="E40" i="1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P6" i="2" l="1"/>
  <c r="P19" l="1"/>
  <c r="O16"/>
  <c r="P13"/>
  <c r="L11"/>
  <c r="O19"/>
  <c r="N16"/>
  <c r="O13"/>
  <c r="N15"/>
  <c r="L10"/>
  <c r="M18"/>
  <c r="P11"/>
  <c r="M14"/>
  <c r="L17"/>
  <c r="N11"/>
  <c r="P16"/>
  <c r="N19"/>
  <c r="M16"/>
  <c r="N13"/>
  <c r="P10"/>
  <c r="M19"/>
  <c r="L16"/>
  <c r="M13"/>
  <c r="O10"/>
  <c r="P15"/>
  <c r="L13"/>
  <c r="N10"/>
  <c r="M15"/>
  <c r="L15"/>
  <c r="P17"/>
  <c r="O14"/>
  <c r="N17"/>
  <c r="L19"/>
  <c r="P18"/>
  <c r="O15"/>
  <c r="M10"/>
  <c r="O18"/>
  <c r="P12"/>
  <c r="O17"/>
  <c r="M17"/>
  <c r="O11"/>
  <c r="L14"/>
  <c r="P14"/>
  <c r="N18"/>
  <c r="O12"/>
  <c r="N12"/>
  <c r="L18"/>
  <c r="M12"/>
  <c r="L12"/>
  <c r="M11"/>
</calcChain>
</file>

<file path=xl/sharedStrings.xml><?xml version="1.0" encoding="utf-8"?>
<sst xmlns="http://schemas.openxmlformats.org/spreadsheetml/2006/main" count="226" uniqueCount="80">
  <si>
    <t>DataVenda</t>
  </si>
  <si>
    <t>Estado</t>
  </si>
  <si>
    <t>Produto ID</t>
  </si>
  <si>
    <t>Produto</t>
  </si>
  <si>
    <t>Paraíba</t>
  </si>
  <si>
    <t>955-AAW</t>
  </si>
  <si>
    <t>São Paulo</t>
  </si>
  <si>
    <t>914-ACN</t>
  </si>
  <si>
    <t>Minas Gerais</t>
  </si>
  <si>
    <t>587-ACG</t>
  </si>
  <si>
    <t>Pernambuco</t>
  </si>
  <si>
    <t>365-ABU</t>
  </si>
  <si>
    <t>296-AAO</t>
  </si>
  <si>
    <t>Bahia</t>
  </si>
  <si>
    <t>613-ACD</t>
  </si>
  <si>
    <t>Paraná</t>
  </si>
  <si>
    <t>941-ABZ</t>
  </si>
  <si>
    <t>944-ACD</t>
  </si>
  <si>
    <t>847-ACG</t>
  </si>
  <si>
    <t>Santa Catarina</t>
  </si>
  <si>
    <t>357-ABZ</t>
  </si>
  <si>
    <t>713-ABZ</t>
  </si>
  <si>
    <t>168-ACD</t>
  </si>
  <si>
    <t>Ceará</t>
  </si>
  <si>
    <t>226-AAW</t>
  </si>
  <si>
    <t>695-ABU</t>
  </si>
  <si>
    <t>558-ABU</t>
  </si>
  <si>
    <t>Sergipe</t>
  </si>
  <si>
    <t>206-ACD</t>
  </si>
  <si>
    <t>490-ABU</t>
  </si>
  <si>
    <t>378-ACG</t>
  </si>
  <si>
    <t>659-ABU</t>
  </si>
  <si>
    <t>Rio de Janeiro</t>
  </si>
  <si>
    <t>429-ABU</t>
  </si>
  <si>
    <t>Espirito Santo</t>
  </si>
  <si>
    <t>371-ACN</t>
  </si>
  <si>
    <t>273-AAO</t>
  </si>
  <si>
    <t>343-ACD</t>
  </si>
  <si>
    <t>635-AAO</t>
  </si>
  <si>
    <t>Mato Grosso do Sul</t>
  </si>
  <si>
    <t>417-AAO</t>
  </si>
  <si>
    <t>359-AAC</t>
  </si>
  <si>
    <t>402-AAA</t>
  </si>
  <si>
    <t>196-ACN</t>
  </si>
  <si>
    <t>987-AAA</t>
  </si>
  <si>
    <t>Rio Grande do Sul</t>
  </si>
  <si>
    <t>646-ACG</t>
  </si>
  <si>
    <t>418-AAA</t>
  </si>
  <si>
    <t>699-AAW</t>
  </si>
  <si>
    <t>382-ACG</t>
  </si>
  <si>
    <t>504-ACD</t>
  </si>
  <si>
    <t>515-AAC</t>
  </si>
  <si>
    <t>AAW</t>
  </si>
  <si>
    <t>ACN</t>
  </si>
  <si>
    <t>ACG</t>
  </si>
  <si>
    <t>ABU</t>
  </si>
  <si>
    <t>AAO</t>
  </si>
  <si>
    <t>ACD</t>
  </si>
  <si>
    <t>ABZ</t>
  </si>
  <si>
    <t>AAC</t>
  </si>
  <si>
    <t>AAA</t>
  </si>
  <si>
    <t>Jan</t>
  </si>
  <si>
    <t>Fev</t>
  </si>
  <si>
    <t>Mar</t>
  </si>
  <si>
    <t>UNIDADE</t>
  </si>
  <si>
    <t>META DIÁRIA</t>
  </si>
  <si>
    <t>DATA</t>
  </si>
  <si>
    <t>PRODUÇÃO</t>
  </si>
  <si>
    <t>VENDAS</t>
  </si>
  <si>
    <t>CRITÉRIOS</t>
  </si>
  <si>
    <t>UO-ES</t>
  </si>
  <si>
    <t>SIM</t>
  </si>
  <si>
    <t>DATA INÍCIO</t>
  </si>
  <si>
    <t>DATA FIM</t>
  </si>
  <si>
    <t>Nº Resultados</t>
  </si>
  <si>
    <t>UO-BS</t>
  </si>
  <si>
    <t>UO-BC</t>
  </si>
  <si>
    <t>NÃO</t>
  </si>
  <si>
    <t>UO-RIO</t>
  </si>
  <si>
    <t>Nº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</si>
</sst>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_-[$R$-416]\ * #,##0.00_-;\-[$R$-416]\ * #,##0.00_-;_-[$R$-416]\ * &quot;-&quot;??_-;_-@_-"/>
    <numFmt numFmtId="165" formatCode="_-* #,##0_-;\-* #,##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/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rgb="FFFF000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1"/>
      </bottom>
      <diagonal/>
    </border>
    <border>
      <left/>
      <right style="hair">
        <color theme="0" tint="-0.34998626667073579"/>
      </right>
      <top style="medium">
        <color theme="5"/>
      </top>
      <bottom style="hair">
        <color theme="0" tint="-0.34998626667073579"/>
      </bottom>
      <diagonal/>
    </border>
    <border>
      <left/>
      <right/>
      <top style="medium">
        <color rgb="FFFF0000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9" tint="0.39994506668294322"/>
      </bottom>
      <diagonal/>
    </border>
    <border>
      <left/>
      <right/>
      <top style="hair">
        <color theme="0" tint="-0.34998626667073579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49" fontId="0" fillId="0" borderId="2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2" fillId="0" borderId="0" xfId="0" applyFont="1" applyAlignment="1">
      <alignment horizontal="center"/>
    </xf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14" fontId="0" fillId="0" borderId="1" xfId="0" applyNumberFormat="1" applyBorder="1"/>
    <xf numFmtId="14" fontId="0" fillId="0" borderId="4" xfId="0" applyNumberFormat="1" applyBorder="1"/>
    <xf numFmtId="14" fontId="0" fillId="0" borderId="7" xfId="0" applyNumberFormat="1" applyBorder="1"/>
    <xf numFmtId="0" fontId="0" fillId="2" borderId="10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0" fontId="0" fillId="2" borderId="4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0" fillId="2" borderId="14" xfId="0" applyNumberFormat="1" applyFill="1" applyBorder="1"/>
    <xf numFmtId="14" fontId="0" fillId="2" borderId="15" xfId="0" applyNumberFormat="1" applyFill="1" applyBorder="1"/>
    <xf numFmtId="0" fontId="0" fillId="0" borderId="11" xfId="1" applyNumberFormat="1" applyFont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17" xfId="0" applyFill="1" applyBorder="1"/>
    <xf numFmtId="0" fontId="0" fillId="3" borderId="18" xfId="0" applyFill="1" applyBorder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165" fontId="0" fillId="0" borderId="2" xfId="1" applyNumberFormat="1" applyFont="1" applyFill="1" applyBorder="1" applyAlignment="1">
      <alignment horizontal="center"/>
    </xf>
    <xf numFmtId="164" fontId="0" fillId="0" borderId="11" xfId="1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4" fontId="0" fillId="0" borderId="5" xfId="0" applyNumberFormat="1" applyFill="1" applyBorder="1" applyAlignment="1">
      <alignment horizontal="center"/>
    </xf>
    <xf numFmtId="165" fontId="0" fillId="0" borderId="5" xfId="1" applyNumberFormat="1" applyFont="1" applyFill="1" applyBorder="1" applyAlignment="1">
      <alignment horizontal="center"/>
    </xf>
    <xf numFmtId="164" fontId="0" fillId="0" borderId="12" xfId="1" applyNumberFormat="1" applyFont="1" applyFill="1" applyBorder="1" applyAlignment="1">
      <alignment horizontal="center"/>
    </xf>
    <xf numFmtId="0" fontId="0" fillId="2" borderId="19" xfId="0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4" fontId="0" fillId="0" borderId="8" xfId="0" applyNumberFormat="1" applyFill="1" applyBorder="1" applyAlignment="1">
      <alignment horizontal="center"/>
    </xf>
    <xf numFmtId="165" fontId="0" fillId="0" borderId="8" xfId="1" applyNumberFormat="1" applyFont="1" applyFill="1" applyBorder="1" applyAlignment="1">
      <alignment horizontal="center"/>
    </xf>
    <xf numFmtId="164" fontId="0" fillId="0" borderId="20" xfId="1" applyNumberFormat="1" applyFont="1" applyFill="1" applyBorder="1" applyAlignment="1">
      <alignment horizontal="center"/>
    </xf>
    <xf numFmtId="164" fontId="0" fillId="0" borderId="21" xfId="0" applyNumberFormat="1" applyBorder="1"/>
    <xf numFmtId="164" fontId="3" fillId="0" borderId="0" xfId="0" applyNumberFormat="1" applyFont="1"/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4" fontId="1" fillId="0" borderId="12" xfId="1" applyNumberFormat="1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Separador de milhares" xfId="1" builtinId="3"/>
  </cellStyles>
  <dxfs count="2">
    <dxf>
      <font>
        <b/>
        <i val="0"/>
      </font>
      <fill>
        <patternFill>
          <bgColor rgb="FF00B050"/>
        </patternFill>
      </fill>
    </dxf>
    <dxf>
      <font>
        <b/>
        <i val="0"/>
        <color rgb="FFC00000"/>
      </font>
      <fill>
        <patternFill>
          <bgColor rgb="FFFFA48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139700</xdr:colOff>
      <xdr:row>2</xdr:row>
      <xdr:rowOff>189500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13</xdr:col>
      <xdr:colOff>638176</xdr:colOff>
      <xdr:row>3</xdr:row>
      <xdr:rowOff>57150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" y="0"/>
          <a:ext cx="9886950" cy="628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D3:P19"/>
  <sheetViews>
    <sheetView showGridLines="0" tabSelected="1" workbookViewId="0">
      <selection activeCell="N14" sqref="N14"/>
    </sheetView>
  </sheetViews>
  <sheetFormatPr defaultRowHeight="15"/>
  <cols>
    <col min="1" max="1" width="0.7109375" customWidth="1"/>
    <col min="2" max="2" width="9.7109375" customWidth="1"/>
    <col min="3" max="3" width="0.42578125" customWidth="1"/>
    <col min="4" max="4" width="9.28515625" customWidth="1"/>
    <col min="5" max="5" width="12" bestFit="1" customWidth="1"/>
    <col min="6" max="6" width="13.140625" customWidth="1"/>
    <col min="7" max="7" width="12.5703125" customWidth="1"/>
    <col min="8" max="8" width="11.28515625" bestFit="1" customWidth="1"/>
    <col min="9" max="9" width="18.85546875" customWidth="1"/>
    <col min="10" max="10" width="1.85546875" customWidth="1"/>
    <col min="11" max="11" width="6.140625" customWidth="1"/>
    <col min="12" max="12" width="9.28515625" bestFit="1" customWidth="1"/>
    <col min="13" max="13" width="12.7109375" bestFit="1" customWidth="1"/>
    <col min="14" max="14" width="12.7109375" customWidth="1"/>
    <col min="15" max="15" width="11.28515625" bestFit="1" customWidth="1"/>
    <col min="16" max="16" width="15.85546875" bestFit="1" customWidth="1"/>
  </cols>
  <sheetData>
    <row r="3" spans="4:16" ht="27" customHeight="1"/>
    <row r="4" spans="4:16" ht="15.75" thickBot="1">
      <c r="D4" s="7">
        <v>0</v>
      </c>
      <c r="E4" s="7" t="s">
        <v>64</v>
      </c>
      <c r="F4" s="7" t="s">
        <v>65</v>
      </c>
      <c r="G4" s="7" t="s">
        <v>66</v>
      </c>
      <c r="H4" s="7" t="s">
        <v>67</v>
      </c>
      <c r="I4" s="7" t="s">
        <v>68</v>
      </c>
      <c r="L4" s="55" t="s">
        <v>69</v>
      </c>
      <c r="M4" s="55"/>
      <c r="N4" s="55"/>
    </row>
    <row r="5" spans="4:16" ht="15.75" thickBot="1">
      <c r="D5" s="14">
        <f>SUM(AND(OR(E5=L$6,E5=L$7),AND(G5&gt;=M$6,G5&lt;=N$6)),D4)</f>
        <v>0</v>
      </c>
      <c r="E5" s="15" t="s">
        <v>70</v>
      </c>
      <c r="F5" s="16" t="s">
        <v>71</v>
      </c>
      <c r="G5" s="17">
        <v>42252</v>
      </c>
      <c r="H5" s="18">
        <v>33289</v>
      </c>
      <c r="I5" s="19">
        <v>1416779.84</v>
      </c>
      <c r="L5" s="7" t="s">
        <v>64</v>
      </c>
      <c r="M5" s="7" t="s">
        <v>72</v>
      </c>
      <c r="N5" s="7" t="s">
        <v>73</v>
      </c>
      <c r="P5" s="54" t="s">
        <v>74</v>
      </c>
    </row>
    <row r="6" spans="4:16">
      <c r="D6" s="20">
        <f t="shared" ref="D6:D15" si="0">SUM(AND(OR(E6=L$6,E6=L$7),AND(G6&gt;=M$6,G6&lt;=N$6)),D5)</f>
        <v>0</v>
      </c>
      <c r="E6" s="21" t="s">
        <v>75</v>
      </c>
      <c r="F6" s="22" t="s">
        <v>71</v>
      </c>
      <c r="G6" s="23">
        <v>42195</v>
      </c>
      <c r="H6" s="24">
        <v>26430</v>
      </c>
      <c r="I6" s="53">
        <v>1124860.8</v>
      </c>
      <c r="L6" s="26" t="s">
        <v>76</v>
      </c>
      <c r="M6" s="27">
        <v>42186</v>
      </c>
      <c r="N6" s="28">
        <f>EOMONTH(M6,2)</f>
        <v>42277</v>
      </c>
      <c r="P6" s="29">
        <f>MAX(D5:D15)</f>
        <v>5</v>
      </c>
    </row>
    <row r="7" spans="4:16">
      <c r="D7" s="20">
        <f t="shared" si="0"/>
        <v>0</v>
      </c>
      <c r="E7" s="21" t="s">
        <v>70</v>
      </c>
      <c r="F7" s="52" t="s">
        <v>77</v>
      </c>
      <c r="G7" s="23">
        <v>42242</v>
      </c>
      <c r="H7" s="24">
        <v>23964</v>
      </c>
      <c r="I7" s="25">
        <v>1019907.8400000001</v>
      </c>
      <c r="L7" s="30" t="s">
        <v>78</v>
      </c>
      <c r="M7" s="31"/>
      <c r="N7" s="32"/>
    </row>
    <row r="8" spans="4:16">
      <c r="D8" s="20">
        <f t="shared" si="0"/>
        <v>1</v>
      </c>
      <c r="E8" s="38" t="s">
        <v>76</v>
      </c>
      <c r="F8" s="39" t="s">
        <v>71</v>
      </c>
      <c r="G8" s="40">
        <v>42196</v>
      </c>
      <c r="H8" s="41">
        <v>31119</v>
      </c>
      <c r="I8" s="42">
        <v>1324424.6400000001</v>
      </c>
    </row>
    <row r="9" spans="4:16" ht="15.75" thickBot="1">
      <c r="D9" s="20">
        <f t="shared" si="0"/>
        <v>1</v>
      </c>
      <c r="E9" s="38" t="s">
        <v>70</v>
      </c>
      <c r="F9" s="39" t="s">
        <v>71</v>
      </c>
      <c r="G9" s="40">
        <v>42267</v>
      </c>
      <c r="H9" s="41">
        <v>29208</v>
      </c>
      <c r="I9" s="42">
        <v>1243092.48</v>
      </c>
      <c r="K9" s="7" t="s">
        <v>79</v>
      </c>
      <c r="L9" s="7" t="s">
        <v>64</v>
      </c>
      <c r="M9" s="7" t="s">
        <v>65</v>
      </c>
      <c r="N9" s="7" t="s">
        <v>66</v>
      </c>
      <c r="O9" s="7" t="s">
        <v>67</v>
      </c>
      <c r="P9" s="7" t="s">
        <v>68</v>
      </c>
    </row>
    <row r="10" spans="4:16">
      <c r="D10" s="20">
        <f t="shared" si="0"/>
        <v>2</v>
      </c>
      <c r="E10" s="38" t="s">
        <v>76</v>
      </c>
      <c r="F10" s="39" t="s">
        <v>71</v>
      </c>
      <c r="G10" s="40">
        <v>42218</v>
      </c>
      <c r="H10" s="41">
        <v>29710</v>
      </c>
      <c r="I10" s="42">
        <v>1264457.6000000001</v>
      </c>
      <c r="K10" s="33">
        <v>1</v>
      </c>
      <c r="L10" s="33" t="str">
        <f>IF($K10&gt;$P$6,"",VLOOKUP($K10,$D$5:$I$15,COLUMNS($K10:L10),0))</f>
        <v>UO-BC</v>
      </c>
      <c r="M10" s="34" t="str">
        <f>IF($K10&gt;$P$6,"",VLOOKUP($K10,$D$5:$I$15,COLUMNS($K10:M10),0))</f>
        <v>SIM</v>
      </c>
      <c r="N10" s="35">
        <f>IF($K10&gt;$P$6,"",VLOOKUP($K10,$D$5:$I$15,COLUMNS($K10:N10),0))</f>
        <v>42196</v>
      </c>
      <c r="O10" s="36">
        <f>IF($K10&gt;$P$6,"",VLOOKUP($K10,$D$5:$I$15,COLUMNS($K10:O10),0))</f>
        <v>31119</v>
      </c>
      <c r="P10" s="37">
        <f>IF($K10&gt;$P$6,"",VLOOKUP($K10,$D$5:$I$15,COLUMNS($K10:P10),0))</f>
        <v>1324424.6400000001</v>
      </c>
    </row>
    <row r="11" spans="4:16">
      <c r="D11" s="20">
        <f t="shared" si="0"/>
        <v>3</v>
      </c>
      <c r="E11" s="38" t="s">
        <v>76</v>
      </c>
      <c r="F11" s="39" t="s">
        <v>77</v>
      </c>
      <c r="G11" s="40">
        <v>42255</v>
      </c>
      <c r="H11" s="41">
        <v>32649</v>
      </c>
      <c r="I11" s="42">
        <v>1389541.4400000002</v>
      </c>
      <c r="K11" s="38">
        <v>2</v>
      </c>
      <c r="L11" s="38" t="str">
        <f>IF($K11&gt;$P$6,"",VLOOKUP($K11,$D$5:$I$15,COLUMNS($K11:L11),0))</f>
        <v>UO-BC</v>
      </c>
      <c r="M11" s="39" t="str">
        <f>IF($K11&gt;$P$6,"",VLOOKUP($K11,$D$5:$I$15,COLUMNS($K11:M11),0))</f>
        <v>SIM</v>
      </c>
      <c r="N11" s="40">
        <f>IF($K11&gt;$P$6,"",VLOOKUP($K11,$D$5:$I$15,COLUMNS($K11:N11),0))</f>
        <v>42218</v>
      </c>
      <c r="O11" s="41">
        <f>IF($K11&gt;$P$6,"",VLOOKUP($K11,$D$5:$I$15,COLUMNS($K11:O11),0))</f>
        <v>29710</v>
      </c>
      <c r="P11" s="42">
        <f>IF($K11&gt;$P$6,"",VLOOKUP($K11,$D$5:$I$15,COLUMNS($K11:P11),0))</f>
        <v>1264457.6000000001</v>
      </c>
    </row>
    <row r="12" spans="4:16">
      <c r="D12" s="20">
        <f t="shared" si="0"/>
        <v>4</v>
      </c>
      <c r="E12" s="38" t="s">
        <v>78</v>
      </c>
      <c r="F12" s="39" t="s">
        <v>77</v>
      </c>
      <c r="G12" s="40">
        <v>42248</v>
      </c>
      <c r="H12" s="41">
        <v>32222</v>
      </c>
      <c r="I12" s="42">
        <v>1371368.32</v>
      </c>
      <c r="K12" s="38">
        <v>3</v>
      </c>
      <c r="L12" s="38" t="str">
        <f>IF($K12&gt;$P$6,"",VLOOKUP($K12,$D$5:$I$15,COLUMNS($K12:L12),0))</f>
        <v>UO-BC</v>
      </c>
      <c r="M12" s="39" t="str">
        <f>IF($K12&gt;$P$6,"",VLOOKUP($K12,$D$5:$I$15,COLUMNS($K12:M12),0))</f>
        <v>NÃO</v>
      </c>
      <c r="N12" s="40">
        <f>IF($K12&gt;$P$6,"",VLOOKUP($K12,$D$5:$I$15,COLUMNS($K12:N12),0))</f>
        <v>42255</v>
      </c>
      <c r="O12" s="41">
        <f>IF($K12&gt;$P$6,"",VLOOKUP($K12,$D$5:$I$15,COLUMNS($K12:O12),0))</f>
        <v>32649</v>
      </c>
      <c r="P12" s="42">
        <f>IF($K12&gt;$P$6,"",VLOOKUP($K12,$D$5:$I$15,COLUMNS($K12:P12),0))</f>
        <v>1389541.4400000002</v>
      </c>
    </row>
    <row r="13" spans="4:16">
      <c r="D13" s="20">
        <f t="shared" si="0"/>
        <v>5</v>
      </c>
      <c r="E13" s="38" t="s">
        <v>78</v>
      </c>
      <c r="F13" s="39" t="s">
        <v>77</v>
      </c>
      <c r="G13" s="40">
        <v>42228</v>
      </c>
      <c r="H13" s="41">
        <v>20134</v>
      </c>
      <c r="I13" s="42">
        <v>856903.04</v>
      </c>
      <c r="K13" s="38">
        <v>4</v>
      </c>
      <c r="L13" s="38" t="str">
        <f>IF($K13&gt;$P$6,"",VLOOKUP($K13,$D$5:$I$15,COLUMNS($K13:L13),0))</f>
        <v>UO-RIO</v>
      </c>
      <c r="M13" s="39" t="str">
        <f>IF($K13&gt;$P$6,"",VLOOKUP($K13,$D$5:$I$15,COLUMNS($K13:M13),0))</f>
        <v>NÃO</v>
      </c>
      <c r="N13" s="40">
        <f>IF($K13&gt;$P$6,"",VLOOKUP($K13,$D$5:$I$15,COLUMNS($K13:N13),0))</f>
        <v>42248</v>
      </c>
      <c r="O13" s="41">
        <f>IF($K13&gt;$P$6,"",VLOOKUP($K13,$D$5:$I$15,COLUMNS($K13:O13),0))</f>
        <v>32222</v>
      </c>
      <c r="P13" s="42">
        <f>IF($K13&gt;$P$6,"",VLOOKUP($K13,$D$5:$I$15,COLUMNS($K13:P13),0))</f>
        <v>1371368.32</v>
      </c>
    </row>
    <row r="14" spans="4:16">
      <c r="D14" s="20">
        <f t="shared" si="0"/>
        <v>5</v>
      </c>
      <c r="E14" s="38" t="s">
        <v>75</v>
      </c>
      <c r="F14" s="39" t="s">
        <v>71</v>
      </c>
      <c r="G14" s="40">
        <v>42214</v>
      </c>
      <c r="H14" s="41">
        <v>32069</v>
      </c>
      <c r="I14" s="42">
        <v>1364856.6400000001</v>
      </c>
      <c r="K14" s="38">
        <v>5</v>
      </c>
      <c r="L14" s="38" t="str">
        <f>IF($K14&gt;$P$6,"",VLOOKUP($K14,$D$5:$I$15,COLUMNS($K14:L14),0))</f>
        <v>UO-RIO</v>
      </c>
      <c r="M14" s="39" t="str">
        <f>IF($K14&gt;$P$6,"",VLOOKUP($K14,$D$5:$I$15,COLUMNS($K14:M14),0))</f>
        <v>NÃO</v>
      </c>
      <c r="N14" s="40">
        <f>IF($K14&gt;$P$6,"",VLOOKUP($K14,$D$5:$I$15,COLUMNS($K14:N14),0))</f>
        <v>42228</v>
      </c>
      <c r="O14" s="41">
        <f>IF($K14&gt;$P$6,"",VLOOKUP($K14,$D$5:$I$15,COLUMNS($K14:O14),0))</f>
        <v>20134</v>
      </c>
      <c r="P14" s="42">
        <f>IF($K14&gt;$P$6,"",VLOOKUP($K14,$D$5:$I$15,COLUMNS($K14:P14),0))</f>
        <v>856903.04</v>
      </c>
    </row>
    <row r="15" spans="4:16" ht="15.75" thickBot="1">
      <c r="D15" s="43">
        <f t="shared" si="0"/>
        <v>5</v>
      </c>
      <c r="E15" s="44" t="s">
        <v>70</v>
      </c>
      <c r="F15" s="45" t="s">
        <v>77</v>
      </c>
      <c r="G15" s="46">
        <v>42201</v>
      </c>
      <c r="H15" s="47">
        <v>24218</v>
      </c>
      <c r="I15" s="48">
        <v>1030718.0800000001</v>
      </c>
      <c r="K15" s="38">
        <v>6</v>
      </c>
      <c r="L15" s="38" t="str">
        <f>IF($K15&gt;$P$6,"",VLOOKUP($K15,$D$5:$I$15,COLUMNS($K15:L15),0))</f>
        <v/>
      </c>
      <c r="M15" s="39" t="str">
        <f>IF($K15&gt;$P$6,"",VLOOKUP($K15,$D$5:$I$15,COLUMNS($K15:M15),0))</f>
        <v/>
      </c>
      <c r="N15" s="40" t="str">
        <f>IF($K15&gt;$P$6,"",VLOOKUP($K15,$D$5:$I$15,COLUMNS($K15:N15),0))</f>
        <v/>
      </c>
      <c r="O15" s="41" t="str">
        <f>IF($K15&gt;$P$6,"",VLOOKUP($K15,$D$5:$I$15,COLUMNS($K15:O15),0))</f>
        <v/>
      </c>
      <c r="P15" s="42" t="str">
        <f>IF($K15&gt;$P$6,"",VLOOKUP($K15,$D$5:$I$15,COLUMNS($K15:P15),0))</f>
        <v/>
      </c>
    </row>
    <row r="16" spans="4:16">
      <c r="I16" s="8"/>
      <c r="K16" s="38">
        <v>7</v>
      </c>
      <c r="L16" s="38" t="str">
        <f>IF($K16&gt;$P$6,"",VLOOKUP($K16,$D$5:$I$15,COLUMNS($K16:L16),0))</f>
        <v/>
      </c>
      <c r="M16" s="39" t="str">
        <f>IF($K16&gt;$P$6,"",VLOOKUP($K16,$D$5:$I$15,COLUMNS($K16:M16),0))</f>
        <v/>
      </c>
      <c r="N16" s="40" t="str">
        <f>IF($K16&gt;$P$6,"",VLOOKUP($K16,$D$5:$I$15,COLUMNS($K16:N16),0))</f>
        <v/>
      </c>
      <c r="O16" s="41" t="str">
        <f>IF($K16&gt;$P$6,"",VLOOKUP($K16,$D$5:$I$15,COLUMNS($K16:O16),0))</f>
        <v/>
      </c>
      <c r="P16" s="42" t="str">
        <f>IF($K16&gt;$P$6,"",VLOOKUP($K16,$D$5:$I$15,COLUMNS($K16:P16),0))</f>
        <v/>
      </c>
    </row>
    <row r="17" spans="11:16">
      <c r="K17" s="38">
        <v>8</v>
      </c>
      <c r="L17" s="38" t="str">
        <f>IF($K17&gt;$P$6,"",VLOOKUP($K17,$D$5:$I$15,COLUMNS($K17:L17),0))</f>
        <v/>
      </c>
      <c r="M17" s="39" t="str">
        <f>IF($K17&gt;$P$6,"",VLOOKUP($K17,$D$5:$I$15,COLUMNS($K17:M17),0))</f>
        <v/>
      </c>
      <c r="N17" s="40" t="str">
        <f>IF($K17&gt;$P$6,"",VLOOKUP($K17,$D$5:$I$15,COLUMNS($K17:N17),0))</f>
        <v/>
      </c>
      <c r="O17" s="41" t="str">
        <f>IF($K17&gt;$P$6,"",VLOOKUP($K17,$D$5:$I$15,COLUMNS($K17:O17),0))</f>
        <v/>
      </c>
      <c r="P17" s="42" t="str">
        <f>IF($K17&gt;$P$6,"",VLOOKUP($K17,$D$5:$I$15,COLUMNS($K17:P17),0))</f>
        <v/>
      </c>
    </row>
    <row r="18" spans="11:16">
      <c r="K18" s="38">
        <v>9</v>
      </c>
      <c r="L18" s="38" t="str">
        <f>IF($K18&gt;$P$6,"",VLOOKUP($K18,$D$5:$I$15,COLUMNS($K18:L18),0))</f>
        <v/>
      </c>
      <c r="M18" s="39" t="str">
        <f>IF($K18&gt;$P$6,"",VLOOKUP($K18,$D$5:$I$15,COLUMNS($K18:M18),0))</f>
        <v/>
      </c>
      <c r="N18" s="40" t="str">
        <f>IF($K18&gt;$P$6,"",VLOOKUP($K18,$D$5:$I$15,COLUMNS($K18:N18),0))</f>
        <v/>
      </c>
      <c r="O18" s="41" t="str">
        <f>IF($K18&gt;$P$6,"",VLOOKUP($K18,$D$5:$I$15,COLUMNS($K18:O18),0))</f>
        <v/>
      </c>
      <c r="P18" s="42" t="str">
        <f>IF($K18&gt;$P$6,"",VLOOKUP($K18,$D$5:$I$15,COLUMNS($K18:P18),0))</f>
        <v/>
      </c>
    </row>
    <row r="19" spans="11:16" ht="15.75" thickBot="1">
      <c r="K19" s="44">
        <v>10</v>
      </c>
      <c r="L19" s="44" t="str">
        <f>IF($K19&gt;$P$6,"",VLOOKUP($K19,$D$5:$I$15,COLUMNS($K19:L19),0))</f>
        <v/>
      </c>
      <c r="M19" s="45" t="str">
        <f>IF($K19&gt;$P$6,"",VLOOKUP($K19,$D$5:$I$15,COLUMNS($K19:M19),0))</f>
        <v/>
      </c>
      <c r="N19" s="46" t="str">
        <f>IF($K19&gt;$P$6,"",VLOOKUP($K19,$D$5:$I$15,COLUMNS($K19:N19),0))</f>
        <v/>
      </c>
      <c r="O19" s="47" t="str">
        <f>IF($K19&gt;$P$6,"",VLOOKUP($K19,$D$5:$I$15,COLUMNS($K19:O19),0))</f>
        <v/>
      </c>
      <c r="P19" s="48" t="str">
        <f>IF($K19&gt;$P$6,"",VLOOKUP($K19,$D$5:$I$15,COLUMNS($K19:P19),0))</f>
        <v/>
      </c>
    </row>
  </sheetData>
  <mergeCells count="1">
    <mergeCell ref="L4:N4"/>
  </mergeCells>
  <conditionalFormatting sqref="L10:P19">
    <cfRule type="expression" dxfId="1" priority="1">
      <formula>$M10="Não"</formula>
    </cfRule>
    <cfRule type="expression" dxfId="0" priority="2">
      <formula>$M10="SIM"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B5:N40"/>
  <sheetViews>
    <sheetView showGridLines="0" topLeftCell="A16" workbookViewId="0">
      <selection activeCell="P6" sqref="P6"/>
    </sheetView>
  </sheetViews>
  <sheetFormatPr defaultRowHeight="15"/>
  <cols>
    <col min="1" max="1" width="2" customWidth="1"/>
    <col min="2" max="2" width="14.140625" bestFit="1" customWidth="1"/>
    <col min="3" max="3" width="19.28515625" bestFit="1" customWidth="1"/>
    <col min="4" max="4" width="14" bestFit="1" customWidth="1"/>
    <col min="5" max="5" width="12" bestFit="1" customWidth="1"/>
    <col min="6" max="6" width="4.42578125" customWidth="1"/>
    <col min="7" max="7" width="10.7109375" bestFit="1" customWidth="1"/>
    <col min="8" max="8" width="18.140625" customWidth="1"/>
    <col min="9" max="9" width="10.42578125" bestFit="1" customWidth="1"/>
    <col min="10" max="10" width="8.140625" bestFit="1" customWidth="1"/>
    <col min="11" max="11" width="4.28515625" customWidth="1"/>
    <col min="12" max="14" width="10.5703125" bestFit="1" customWidth="1"/>
  </cols>
  <sheetData>
    <row r="5" spans="2:14" ht="15.75" thickBot="1">
      <c r="B5" s="7" t="s">
        <v>0</v>
      </c>
      <c r="C5" s="7" t="s">
        <v>1</v>
      </c>
      <c r="D5" s="7" t="s">
        <v>2</v>
      </c>
      <c r="E5" s="7" t="s">
        <v>3</v>
      </c>
      <c r="G5" s="7" t="s">
        <v>0</v>
      </c>
      <c r="H5" s="7" t="s">
        <v>1</v>
      </c>
      <c r="I5" s="7" t="s">
        <v>2</v>
      </c>
      <c r="J5" s="7" t="s">
        <v>3</v>
      </c>
      <c r="L5" s="51" t="s">
        <v>61</v>
      </c>
      <c r="M5" s="51" t="s">
        <v>62</v>
      </c>
      <c r="N5" s="51" t="s">
        <v>63</v>
      </c>
    </row>
    <row r="6" spans="2:14">
      <c r="B6" s="11">
        <v>41390</v>
      </c>
      <c r="C6" s="1" t="s">
        <v>4</v>
      </c>
      <c r="D6" s="1" t="s">
        <v>5</v>
      </c>
      <c r="E6" s="2" t="str">
        <f>RIGHT('Atalhos - Parte 2 (alt)'!$D6,3)</f>
        <v>AAW</v>
      </c>
      <c r="G6" s="11">
        <v>41390</v>
      </c>
      <c r="H6" s="1" t="s">
        <v>4</v>
      </c>
      <c r="I6" s="1" t="s">
        <v>5</v>
      </c>
      <c r="J6" s="2" t="s">
        <v>52</v>
      </c>
      <c r="L6" s="8">
        <v>45.36</v>
      </c>
      <c r="M6" s="8">
        <v>39</v>
      </c>
      <c r="N6" s="8">
        <v>42.33</v>
      </c>
    </row>
    <row r="7" spans="2:14">
      <c r="B7" s="12">
        <v>41542</v>
      </c>
      <c r="C7" s="3" t="s">
        <v>6</v>
      </c>
      <c r="D7" s="3" t="s">
        <v>7</v>
      </c>
      <c r="E7" s="4" t="str">
        <f>RIGHT('Atalhos - Parte 2 (alt)'!$D7,3)</f>
        <v>ACN</v>
      </c>
      <c r="G7" s="12">
        <v>41542</v>
      </c>
      <c r="H7" s="3" t="s">
        <v>6</v>
      </c>
      <c r="I7" s="3" t="s">
        <v>7</v>
      </c>
      <c r="J7" s="4" t="s">
        <v>53</v>
      </c>
      <c r="K7" s="10"/>
      <c r="L7" s="8">
        <v>158</v>
      </c>
      <c r="M7" s="8">
        <v>42</v>
      </c>
      <c r="N7" s="8">
        <v>66.41</v>
      </c>
    </row>
    <row r="8" spans="2:14">
      <c r="B8" s="12">
        <v>40764</v>
      </c>
      <c r="C8" s="3" t="s">
        <v>8</v>
      </c>
      <c r="D8" s="3" t="s">
        <v>9</v>
      </c>
      <c r="E8" s="4" t="str">
        <f>RIGHT('Atalhos - Parte 2 (alt)'!$D8,3)</f>
        <v>ACG</v>
      </c>
      <c r="G8" s="12">
        <v>40764</v>
      </c>
      <c r="H8" s="3" t="s">
        <v>8</v>
      </c>
      <c r="I8" s="3" t="s">
        <v>9</v>
      </c>
      <c r="J8" s="4" t="s">
        <v>54</v>
      </c>
      <c r="L8" s="8">
        <v>142.36000000000001</v>
      </c>
      <c r="M8" s="8">
        <v>67</v>
      </c>
      <c r="N8" s="8">
        <v>14.98</v>
      </c>
    </row>
    <row r="9" spans="2:14" ht="15.75" thickBot="1">
      <c r="B9" s="12">
        <v>41654</v>
      </c>
      <c r="C9" s="3" t="s">
        <v>10</v>
      </c>
      <c r="D9" s="3" t="s">
        <v>11</v>
      </c>
      <c r="E9" s="4" t="str">
        <f>RIGHT('Atalhos - Parte 2 (alt)'!$D9,3)</f>
        <v>ABU</v>
      </c>
      <c r="G9" s="12">
        <v>41654</v>
      </c>
      <c r="H9" s="3" t="s">
        <v>10</v>
      </c>
      <c r="I9" s="3" t="s">
        <v>11</v>
      </c>
      <c r="J9" s="4" t="s">
        <v>55</v>
      </c>
      <c r="L9" s="49">
        <v>178</v>
      </c>
      <c r="M9" s="49">
        <v>81</v>
      </c>
      <c r="N9" s="49">
        <v>56</v>
      </c>
    </row>
    <row r="10" spans="2:14" ht="15.75" thickTop="1">
      <c r="B10" s="12">
        <v>40627</v>
      </c>
      <c r="C10" s="3" t="s">
        <v>10</v>
      </c>
      <c r="D10" s="3" t="s">
        <v>12</v>
      </c>
      <c r="E10" s="4" t="str">
        <f>RIGHT('Atalhos - Parte 2 (alt)'!$D10,3)</f>
        <v>AAO</v>
      </c>
      <c r="G10" s="12">
        <v>40627</v>
      </c>
      <c r="H10" s="3" t="s">
        <v>10</v>
      </c>
      <c r="I10" s="3" t="s">
        <v>12</v>
      </c>
      <c r="J10" s="4" t="s">
        <v>56</v>
      </c>
      <c r="L10" s="8"/>
      <c r="M10" s="8"/>
      <c r="N10" s="8"/>
    </row>
    <row r="11" spans="2:14">
      <c r="B11" s="12">
        <v>40674</v>
      </c>
      <c r="C11" s="3" t="s">
        <v>13</v>
      </c>
      <c r="D11" s="3" t="s">
        <v>14</v>
      </c>
      <c r="E11" s="4" t="str">
        <f>RIGHT('Atalhos - Parte 2 (alt)'!$D11,3)</f>
        <v>ACD</v>
      </c>
      <c r="G11" s="12">
        <v>40674</v>
      </c>
      <c r="H11" s="3" t="s">
        <v>13</v>
      </c>
      <c r="I11" s="3" t="s">
        <v>14</v>
      </c>
      <c r="J11" s="4" t="s">
        <v>57</v>
      </c>
      <c r="L11" s="50"/>
      <c r="M11" s="50"/>
      <c r="N11" s="50"/>
    </row>
    <row r="12" spans="2:14">
      <c r="B12" s="12">
        <v>41696</v>
      </c>
      <c r="C12" s="3" t="s">
        <v>15</v>
      </c>
      <c r="D12" s="3" t="s">
        <v>16</v>
      </c>
      <c r="E12" s="4" t="str">
        <f>RIGHT('Atalhos - Parte 2 (alt)'!$D12,3)</f>
        <v>ABZ</v>
      </c>
      <c r="G12" s="12">
        <v>41696</v>
      </c>
      <c r="H12" s="3" t="s">
        <v>15</v>
      </c>
      <c r="I12" s="3" t="s">
        <v>16</v>
      </c>
      <c r="J12" s="4" t="s">
        <v>58</v>
      </c>
      <c r="L12" s="8"/>
    </row>
    <row r="13" spans="2:14">
      <c r="B13" s="12">
        <v>41661</v>
      </c>
      <c r="C13" s="3" t="s">
        <v>6</v>
      </c>
      <c r="D13" s="3" t="s">
        <v>17</v>
      </c>
      <c r="E13" s="4" t="str">
        <f>RIGHT('Atalhos - Parte 2 (alt)'!$D13,3)</f>
        <v>ACD</v>
      </c>
      <c r="G13" s="12">
        <v>41661</v>
      </c>
      <c r="H13" s="3" t="s">
        <v>6</v>
      </c>
      <c r="I13" s="3" t="s">
        <v>17</v>
      </c>
      <c r="J13" s="4" t="s">
        <v>57</v>
      </c>
      <c r="L13" s="8"/>
    </row>
    <row r="14" spans="2:14">
      <c r="B14" s="12">
        <v>41240</v>
      </c>
      <c r="C14" s="3" t="s">
        <v>4</v>
      </c>
      <c r="D14" s="3" t="s">
        <v>18</v>
      </c>
      <c r="E14" s="4" t="str">
        <f>RIGHT('Atalhos - Parte 2 (alt)'!$D14,3)</f>
        <v>ACG</v>
      </c>
      <c r="G14" s="12">
        <v>41240</v>
      </c>
      <c r="H14" s="3" t="s">
        <v>4</v>
      </c>
      <c r="I14" s="3" t="s">
        <v>18</v>
      </c>
      <c r="J14" s="4" t="s">
        <v>54</v>
      </c>
      <c r="L14" s="8"/>
    </row>
    <row r="15" spans="2:14">
      <c r="B15" s="12">
        <v>41246</v>
      </c>
      <c r="C15" s="3" t="s">
        <v>19</v>
      </c>
      <c r="D15" s="3" t="s">
        <v>20</v>
      </c>
      <c r="E15" s="4" t="str">
        <f>RIGHT('Atalhos - Parte 2 (alt)'!$D15,3)</f>
        <v>ABZ</v>
      </c>
      <c r="G15" s="12">
        <v>41246</v>
      </c>
      <c r="H15" s="3" t="s">
        <v>19</v>
      </c>
      <c r="I15" s="3" t="s">
        <v>20</v>
      </c>
      <c r="J15" s="4" t="s">
        <v>58</v>
      </c>
      <c r="L15" s="8"/>
    </row>
    <row r="16" spans="2:14">
      <c r="B16" s="12">
        <v>40403</v>
      </c>
      <c r="C16" s="3" t="s">
        <v>4</v>
      </c>
      <c r="D16" s="3" t="s">
        <v>21</v>
      </c>
      <c r="E16" s="4" t="str">
        <f>RIGHT('Atalhos - Parte 2 (alt)'!$D16,3)</f>
        <v>ABZ</v>
      </c>
      <c r="G16" s="12">
        <v>40403</v>
      </c>
      <c r="H16" s="3" t="s">
        <v>4</v>
      </c>
      <c r="I16" s="3" t="s">
        <v>21</v>
      </c>
      <c r="J16" s="4" t="s">
        <v>58</v>
      </c>
      <c r="L16" s="8"/>
    </row>
    <row r="17" spans="2:13">
      <c r="B17" s="12">
        <v>41332</v>
      </c>
      <c r="C17" s="3" t="s">
        <v>6</v>
      </c>
      <c r="D17" s="3" t="s">
        <v>22</v>
      </c>
      <c r="E17" s="4" t="str">
        <f>RIGHT('Atalhos - Parte 2 (alt)'!$D17,3)</f>
        <v>ACD</v>
      </c>
      <c r="G17" s="12">
        <v>41332</v>
      </c>
      <c r="H17" s="3" t="s">
        <v>6</v>
      </c>
      <c r="I17" s="3" t="s">
        <v>22</v>
      </c>
      <c r="J17" s="4" t="s">
        <v>57</v>
      </c>
    </row>
    <row r="18" spans="2:13">
      <c r="B18" s="12">
        <v>41704</v>
      </c>
      <c r="C18" s="3" t="s">
        <v>23</v>
      </c>
      <c r="D18" s="3" t="s">
        <v>24</v>
      </c>
      <c r="E18" s="4" t="str">
        <f>RIGHT('Atalhos - Parte 2 (alt)'!$D18,3)</f>
        <v>AAW</v>
      </c>
      <c r="G18" s="12">
        <v>41704</v>
      </c>
      <c r="H18" s="3" t="s">
        <v>23</v>
      </c>
      <c r="I18" s="3" t="s">
        <v>24</v>
      </c>
      <c r="J18" s="4" t="s">
        <v>52</v>
      </c>
    </row>
    <row r="19" spans="2:13">
      <c r="B19" s="12">
        <v>40419</v>
      </c>
      <c r="C19" s="3" t="s">
        <v>6</v>
      </c>
      <c r="D19" s="3" t="s">
        <v>25</v>
      </c>
      <c r="E19" s="4" t="str">
        <f>RIGHT('Atalhos - Parte 2 (alt)'!$D19,3)</f>
        <v>ABU</v>
      </c>
      <c r="G19" s="12">
        <v>40419</v>
      </c>
      <c r="H19" s="3" t="s">
        <v>6</v>
      </c>
      <c r="I19" s="3" t="s">
        <v>25</v>
      </c>
      <c r="J19" s="4" t="s">
        <v>55</v>
      </c>
      <c r="M19" s="9"/>
    </row>
    <row r="20" spans="2:13">
      <c r="B20" s="12">
        <v>41218</v>
      </c>
      <c r="C20" s="3" t="s">
        <v>6</v>
      </c>
      <c r="D20" s="3" t="s">
        <v>26</v>
      </c>
      <c r="E20" s="4" t="str">
        <f>RIGHT('Atalhos - Parte 2 (alt)'!$D20,3)</f>
        <v>ABU</v>
      </c>
      <c r="G20" s="12">
        <v>41218</v>
      </c>
      <c r="H20" s="3" t="s">
        <v>6</v>
      </c>
      <c r="I20" s="3" t="s">
        <v>26</v>
      </c>
      <c r="J20" s="4" t="s">
        <v>55</v>
      </c>
    </row>
    <row r="21" spans="2:13">
      <c r="B21" s="12">
        <v>40439</v>
      </c>
      <c r="C21" s="3" t="s">
        <v>27</v>
      </c>
      <c r="D21" s="3" t="s">
        <v>28</v>
      </c>
      <c r="E21" s="4" t="str">
        <f>RIGHT('Atalhos - Parte 2 (alt)'!$D21,3)</f>
        <v>ACD</v>
      </c>
      <c r="G21" s="12">
        <v>40439</v>
      </c>
      <c r="H21" s="3" t="s">
        <v>27</v>
      </c>
      <c r="I21" s="3" t="s">
        <v>28</v>
      </c>
      <c r="J21" s="4" t="s">
        <v>57</v>
      </c>
      <c r="L21" s="10"/>
    </row>
    <row r="22" spans="2:13">
      <c r="B22" s="12">
        <v>41646</v>
      </c>
      <c r="C22" s="3" t="s">
        <v>27</v>
      </c>
      <c r="D22" s="3" t="s">
        <v>29</v>
      </c>
      <c r="E22" s="4" t="str">
        <f>RIGHT('Atalhos - Parte 2 (alt)'!$D22,3)</f>
        <v>ABU</v>
      </c>
      <c r="G22" s="12">
        <v>41646</v>
      </c>
      <c r="H22" s="3" t="s">
        <v>27</v>
      </c>
      <c r="I22" s="3" t="s">
        <v>29</v>
      </c>
      <c r="J22" s="4" t="s">
        <v>55</v>
      </c>
    </row>
    <row r="23" spans="2:13">
      <c r="B23" s="12">
        <v>41096</v>
      </c>
      <c r="C23" s="3" t="s">
        <v>19</v>
      </c>
      <c r="D23" s="3" t="s">
        <v>30</v>
      </c>
      <c r="E23" s="4" t="str">
        <f>RIGHT('Atalhos - Parte 2 (alt)'!$D23,3)</f>
        <v>ACG</v>
      </c>
      <c r="G23" s="12">
        <v>41096</v>
      </c>
      <c r="H23" s="3" t="s">
        <v>19</v>
      </c>
      <c r="I23" s="3" t="s">
        <v>30</v>
      </c>
      <c r="J23" s="4" t="s">
        <v>54</v>
      </c>
    </row>
    <row r="24" spans="2:13">
      <c r="B24" s="12">
        <v>40295</v>
      </c>
      <c r="C24" s="3" t="s">
        <v>10</v>
      </c>
      <c r="D24" s="3" t="s">
        <v>31</v>
      </c>
      <c r="E24" s="4" t="str">
        <f>RIGHT('Atalhos - Parte 2 (alt)'!$D24,3)</f>
        <v>ABU</v>
      </c>
      <c r="G24" s="12">
        <v>40295</v>
      </c>
      <c r="H24" s="3" t="s">
        <v>10</v>
      </c>
      <c r="I24" s="3" t="s">
        <v>31</v>
      </c>
      <c r="J24" s="4" t="s">
        <v>55</v>
      </c>
    </row>
    <row r="25" spans="2:13">
      <c r="B25" s="12">
        <v>41062</v>
      </c>
      <c r="C25" s="3" t="s">
        <v>32</v>
      </c>
      <c r="D25" s="3" t="s">
        <v>33</v>
      </c>
      <c r="E25" s="4" t="str">
        <f>RIGHT('Atalhos - Parte 2 (alt)'!$D25,3)</f>
        <v>ABU</v>
      </c>
      <c r="G25" s="12">
        <v>41062</v>
      </c>
      <c r="H25" s="3" t="s">
        <v>32</v>
      </c>
      <c r="I25" s="3" t="s">
        <v>33</v>
      </c>
      <c r="J25" s="4" t="s">
        <v>55</v>
      </c>
    </row>
    <row r="26" spans="2:13">
      <c r="B26" s="12">
        <v>40642</v>
      </c>
      <c r="C26" s="3" t="s">
        <v>34</v>
      </c>
      <c r="D26" s="3" t="s">
        <v>35</v>
      </c>
      <c r="E26" s="4" t="str">
        <f>RIGHT('Atalhos - Parte 2 (alt)'!$D26,3)</f>
        <v>ACN</v>
      </c>
      <c r="G26" s="12">
        <v>40642</v>
      </c>
      <c r="H26" s="3" t="s">
        <v>34</v>
      </c>
      <c r="I26" s="3" t="s">
        <v>35</v>
      </c>
      <c r="J26" s="4" t="s">
        <v>53</v>
      </c>
    </row>
    <row r="27" spans="2:13">
      <c r="B27" s="12">
        <v>41687</v>
      </c>
      <c r="C27" s="3" t="s">
        <v>6</v>
      </c>
      <c r="D27" s="3" t="s">
        <v>36</v>
      </c>
      <c r="E27" s="4" t="str">
        <f>RIGHT('Atalhos - Parte 2 (alt)'!$D27,3)</f>
        <v>AAO</v>
      </c>
      <c r="G27" s="12">
        <v>41687</v>
      </c>
      <c r="H27" s="3" t="s">
        <v>6</v>
      </c>
      <c r="I27" s="3" t="s">
        <v>36</v>
      </c>
      <c r="J27" s="4" t="s">
        <v>56</v>
      </c>
    </row>
    <row r="28" spans="2:13">
      <c r="B28" s="12">
        <v>41059</v>
      </c>
      <c r="C28" s="3" t="s">
        <v>6</v>
      </c>
      <c r="D28" s="3" t="s">
        <v>37</v>
      </c>
      <c r="E28" s="4" t="str">
        <f>RIGHT('Atalhos - Parte 2 (alt)'!$D28,3)</f>
        <v>ACD</v>
      </c>
      <c r="G28" s="12">
        <v>41059</v>
      </c>
      <c r="H28" s="3" t="s">
        <v>6</v>
      </c>
      <c r="I28" s="3" t="s">
        <v>37</v>
      </c>
      <c r="J28" s="4" t="s">
        <v>57</v>
      </c>
    </row>
    <row r="29" spans="2:13">
      <c r="B29" s="12">
        <v>40959</v>
      </c>
      <c r="C29" s="3" t="s">
        <v>13</v>
      </c>
      <c r="D29" s="3" t="s">
        <v>38</v>
      </c>
      <c r="E29" s="4" t="str">
        <f>RIGHT('Atalhos - Parte 2 (alt)'!$D29,3)</f>
        <v>AAO</v>
      </c>
      <c r="G29" s="12">
        <v>40959</v>
      </c>
      <c r="H29" s="3" t="s">
        <v>13</v>
      </c>
      <c r="I29" s="3" t="s">
        <v>38</v>
      </c>
      <c r="J29" s="4" t="s">
        <v>56</v>
      </c>
    </row>
    <row r="30" spans="2:13">
      <c r="B30" s="12">
        <v>41185</v>
      </c>
      <c r="C30" s="3" t="s">
        <v>39</v>
      </c>
      <c r="D30" s="3" t="s">
        <v>40</v>
      </c>
      <c r="E30" s="4" t="str">
        <f>RIGHT('Atalhos - Parte 2 (alt)'!$D30,3)</f>
        <v>AAO</v>
      </c>
      <c r="G30" s="12">
        <v>41185</v>
      </c>
      <c r="H30" s="3" t="s">
        <v>39</v>
      </c>
      <c r="I30" s="3" t="s">
        <v>40</v>
      </c>
      <c r="J30" s="4" t="s">
        <v>56</v>
      </c>
    </row>
    <row r="31" spans="2:13">
      <c r="B31" s="12">
        <v>40347</v>
      </c>
      <c r="C31" s="3" t="s">
        <v>10</v>
      </c>
      <c r="D31" s="3" t="s">
        <v>41</v>
      </c>
      <c r="E31" s="4" t="str">
        <f>RIGHT('Atalhos - Parte 2 (alt)'!$D31,3)</f>
        <v>AAC</v>
      </c>
      <c r="G31" s="12">
        <v>40347</v>
      </c>
      <c r="H31" s="3" t="s">
        <v>10</v>
      </c>
      <c r="I31" s="3" t="s">
        <v>41</v>
      </c>
      <c r="J31" s="4" t="s">
        <v>59</v>
      </c>
    </row>
    <row r="32" spans="2:13">
      <c r="B32" s="12">
        <v>40381</v>
      </c>
      <c r="C32" s="3" t="s">
        <v>23</v>
      </c>
      <c r="D32" s="3" t="s">
        <v>42</v>
      </c>
      <c r="E32" s="4" t="str">
        <f>RIGHT('Atalhos - Parte 2 (alt)'!$D32,3)</f>
        <v>AAA</v>
      </c>
      <c r="G32" s="12">
        <v>40381</v>
      </c>
      <c r="H32" s="3" t="s">
        <v>23</v>
      </c>
      <c r="I32" s="3" t="s">
        <v>42</v>
      </c>
      <c r="J32" s="4" t="s">
        <v>60</v>
      </c>
    </row>
    <row r="33" spans="2:10">
      <c r="B33" s="12">
        <v>40707</v>
      </c>
      <c r="C33" s="3" t="s">
        <v>8</v>
      </c>
      <c r="D33" s="3" t="s">
        <v>43</v>
      </c>
      <c r="E33" s="4" t="str">
        <f>RIGHT('Atalhos - Parte 2 (alt)'!$D33,3)</f>
        <v>ACN</v>
      </c>
      <c r="G33" s="12">
        <v>40707</v>
      </c>
      <c r="H33" s="3" t="s">
        <v>8</v>
      </c>
      <c r="I33" s="3" t="s">
        <v>43</v>
      </c>
      <c r="J33" s="4" t="s">
        <v>53</v>
      </c>
    </row>
    <row r="34" spans="2:10">
      <c r="B34" s="12">
        <v>40358</v>
      </c>
      <c r="C34" s="3" t="s">
        <v>32</v>
      </c>
      <c r="D34" s="3" t="s">
        <v>44</v>
      </c>
      <c r="E34" s="4" t="str">
        <f>RIGHT('Atalhos - Parte 2 (alt)'!$D34,3)</f>
        <v>AAA</v>
      </c>
      <c r="G34" s="12">
        <v>40358</v>
      </c>
      <c r="H34" s="3" t="s">
        <v>32</v>
      </c>
      <c r="I34" s="3" t="s">
        <v>44</v>
      </c>
      <c r="J34" s="4" t="s">
        <v>60</v>
      </c>
    </row>
    <row r="35" spans="2:10">
      <c r="B35" s="12">
        <v>41455</v>
      </c>
      <c r="C35" s="3" t="s">
        <v>10</v>
      </c>
      <c r="D35" s="3" t="s">
        <v>46</v>
      </c>
      <c r="E35" s="4" t="str">
        <f>RIGHT('Atalhos - Parte 2 (alt)'!$D35,3)</f>
        <v>ACG</v>
      </c>
      <c r="G35" s="12">
        <v>41455</v>
      </c>
      <c r="H35" s="3" t="s">
        <v>10</v>
      </c>
      <c r="I35" s="3" t="s">
        <v>46</v>
      </c>
      <c r="J35" s="4" t="s">
        <v>54</v>
      </c>
    </row>
    <row r="36" spans="2:10">
      <c r="B36" s="12">
        <v>41708</v>
      </c>
      <c r="C36" s="3" t="s">
        <v>23</v>
      </c>
      <c r="D36" s="3" t="s">
        <v>47</v>
      </c>
      <c r="E36" s="4" t="str">
        <f>RIGHT('Atalhos - Parte 2 (alt)'!$D36,3)</f>
        <v>AAA</v>
      </c>
      <c r="G36" s="12">
        <v>41708</v>
      </c>
      <c r="H36" s="3" t="s">
        <v>23</v>
      </c>
      <c r="I36" s="3" t="s">
        <v>47</v>
      </c>
      <c r="J36" s="4" t="s">
        <v>60</v>
      </c>
    </row>
    <row r="37" spans="2:10">
      <c r="B37" s="12">
        <v>40215</v>
      </c>
      <c r="C37" s="3" t="s">
        <v>8</v>
      </c>
      <c r="D37" s="3" t="s">
        <v>48</v>
      </c>
      <c r="E37" s="4" t="str">
        <f>RIGHT('Atalhos - Parte 2 (alt)'!$D37,3)</f>
        <v>AAW</v>
      </c>
      <c r="G37" s="12">
        <v>40215</v>
      </c>
      <c r="H37" s="3" t="s">
        <v>8</v>
      </c>
      <c r="I37" s="3" t="s">
        <v>48</v>
      </c>
      <c r="J37" s="4" t="s">
        <v>52</v>
      </c>
    </row>
    <row r="38" spans="2:10">
      <c r="B38" s="12">
        <v>40897</v>
      </c>
      <c r="C38" s="3" t="s">
        <v>32</v>
      </c>
      <c r="D38" s="3" t="s">
        <v>49</v>
      </c>
      <c r="E38" s="4" t="str">
        <f>RIGHT('Atalhos - Parte 2 (alt)'!$D38,3)</f>
        <v>ACG</v>
      </c>
      <c r="G38" s="12">
        <v>40897</v>
      </c>
      <c r="H38" s="3" t="s">
        <v>32</v>
      </c>
      <c r="I38" s="3" t="s">
        <v>49</v>
      </c>
      <c r="J38" s="4" t="s">
        <v>54</v>
      </c>
    </row>
    <row r="39" spans="2:10">
      <c r="B39" s="12">
        <v>40317</v>
      </c>
      <c r="C39" s="3" t="s">
        <v>45</v>
      </c>
      <c r="D39" s="3" t="s">
        <v>50</v>
      </c>
      <c r="E39" s="4" t="str">
        <f>RIGHT('Atalhos - Parte 2 (alt)'!$D39,3)</f>
        <v>ACD</v>
      </c>
      <c r="G39" s="12">
        <v>40317</v>
      </c>
      <c r="H39" s="3" t="s">
        <v>45</v>
      </c>
      <c r="I39" s="3" t="s">
        <v>50</v>
      </c>
      <c r="J39" s="4" t="s">
        <v>57</v>
      </c>
    </row>
    <row r="40" spans="2:10" ht="15.75" thickBot="1">
      <c r="B40" s="13">
        <v>40402</v>
      </c>
      <c r="C40" s="5" t="s">
        <v>6</v>
      </c>
      <c r="D40" s="5" t="s">
        <v>51</v>
      </c>
      <c r="E40" s="6" t="str">
        <f>RIGHT('Atalhos - Parte 2 (alt)'!$D40,3)</f>
        <v>AAC</v>
      </c>
      <c r="G40" s="13">
        <v>40402</v>
      </c>
      <c r="H40" s="5" t="s">
        <v>6</v>
      </c>
      <c r="I40" s="5" t="s">
        <v>51</v>
      </c>
      <c r="J40" s="6" t="s">
        <v>59</v>
      </c>
    </row>
  </sheetData>
  <pageMargins left="0.511811024" right="0.511811024" top="0.78740157499999996" bottom="0.78740157499999996" header="0.31496062000000002" footer="0.31496062000000002"/>
  <drawing r:id="rId1"/>
</worksheet>
</file>

<file path=customUI/_rels/customUI14.xml.rels><?xml version="1.0" encoding="UTF-8" standalone="yes"?>
<Relationships xmlns="http://schemas.openxmlformats.org/package/2006/relationships"><Relationship Id="LK" Type="http://schemas.openxmlformats.org/officeDocument/2006/relationships/image" Target="images/LK.png"/><Relationship Id="DB" Type="http://schemas.openxmlformats.org/officeDocument/2006/relationships/image" Target="images/DB.png"/><Relationship Id="fotoR" Type="http://schemas.openxmlformats.org/officeDocument/2006/relationships/image" Target="images/fotoR.PNG"/><Relationship Id="YT" Type="http://schemas.openxmlformats.org/officeDocument/2006/relationships/image" Target="images/YT.png"/><Relationship Id="FB" Type="http://schemas.openxmlformats.org/officeDocument/2006/relationships/image" Target="images/FB.png"/><Relationship Id="goog" Type="http://schemas.openxmlformats.org/officeDocument/2006/relationships/image" Target="images/goog.png"/><Relationship Id="BI" Type="http://schemas.openxmlformats.org/officeDocument/2006/relationships/image" Target="images/BI.png"/><Relationship Id="EXLA" Type="http://schemas.openxmlformats.org/officeDocument/2006/relationships/image" Target="images/EXLA.png"/><Relationship Id="PL" Type="http://schemas.openxmlformats.org/officeDocument/2006/relationships/image" Target="images/PL.png"/><Relationship Id="PQ" Type="http://schemas.openxmlformats.org/officeDocument/2006/relationships/image" Target="images/PQ.png"/><Relationship Id="GR" Type="http://schemas.openxmlformats.org/officeDocument/2006/relationships/image" Target="images/GR.png"/><Relationship Id="min" Type="http://schemas.openxmlformats.org/officeDocument/2006/relationships/image" Target="images/min.png"/><Relationship Id="PP" Type="http://schemas.openxmlformats.org/officeDocument/2006/relationships/image" Target="images/PP.png"/><Relationship Id="foto" Type="http://schemas.openxmlformats.org/officeDocument/2006/relationships/image" Target="images/foto.PNG"/><Relationship Id="DLD" Type="http://schemas.openxmlformats.org/officeDocument/2006/relationships/image" Target="images/DLD.png"/><Relationship Id="EXL" Type="http://schemas.openxmlformats.org/officeDocument/2006/relationships/image" Target="images/EXL.png"/></Relationships>
</file>

<file path=customUI/customUI14.xml><?xml version="1.0" encoding="utf-8"?>
<customUI xmlns="http://schemas.microsoft.com/office/2006/01/customui">
  <ribbon>
    <tabs>
      <tab id="customTab" label="PLANILHEIROS" insertBeforeMso="TabHome">
        <group id="Garcia" label="#DicadoGarcia">
          <button id="btgarcia" label="Prof. Garcia" size="large" onAction="BtOnActionCall_01" image="foto"/>
          <button id="btlinkedin" label="Perfil" size="large" onAction="BtOnActionCall_02" image="LK"/>
        </group>
        <group id="Ruy" label="#DicadoRuy">
          <button id="btRuy" label="Prof. Ruy" size="large" onAction="BtOnActionCall_03" image="fotoR"/>
          <button id="btlinkedin1" label="Perfil" size="large" onAction="BtOnActionCall_04" image="LK"/>
        </group>
        <group id="Planilheiros" label="Visite Planilheiros">
          <button id="btFacebook" label="Facebook" size="large" onAction="BtOnActionCall_06" image="FB"/>
          <button id="btSite" label="Portal" size="large" onAction="BtOnActionCall_11" image="PL"/>
          <button id="btGoogle" label="G Plus" size="large" onAction="BtOnActionCall_05" image="goog"/>
        </group>
        <group id="Presenciais" label="Cursos Presenciais - 2016">
          <button id="btDashboards" label="Curso Dashboards" size="large" onAction="BtOnActionCall_09" image="DB"/>
          <button id="btBI" label="Curso Self-Service BI" size="large" onAction="BtOnActionCall_10" image="BI"/>
        </group>
        <group id="VideoAulas" label="YouTube - Vídeo-Aulas Gratuitas">
          <button id="btYoutube" label="Canal Oficial" size="large" onAction="BtOnActionCall_07" image="YT"/>
          <button id="bt5min" label="Excel em 5 Min" size="large" onAction="BtOnActionCall_12" image="min"/>
          <button id="btBasico" label="Excel Basico" size="large" onAction="BtOnActionCall_13" image="EXL"/>
          <button id="btAvançado" label="Excel Avançado" size="large" onAction="BtOnActionCall_14" image="EXLA"/>
          <button id="btGraficos" label="Excel Gráficos" size="large" onAction="BtOnActionCall_15" image="GR"/>
          <button id="btPP_PV" label="BI - Powerpivot e PowerView" size="large" onAction="BtOnActionCall_16" image="PP"/>
          <button id="btPowerQuery" label="BI - Power Query" size="large" onAction="BtOnActionCall_17" image="PQ"/>
        </group>
        <group id="Downloads" label="Downloads">
          <button id="btDownloads" label="Pastas de Trabalho" size="large" onAction="BtOnActionCall_08" image="DL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Atalhos - Parte 1 (ctrl)</vt:lpstr>
      <vt:lpstr>Atalhos - Parte 2 (alt)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Garcia</dc:creator>
  <cp:lastModifiedBy>lab01</cp:lastModifiedBy>
  <cp:lastPrinted>2015-09-15T20:55:24Z</cp:lastPrinted>
  <dcterms:created xsi:type="dcterms:W3CDTF">2015-08-24T00:09:07Z</dcterms:created>
  <dcterms:modified xsi:type="dcterms:W3CDTF">2019-09-08T01:40:58Z</dcterms:modified>
</cp:coreProperties>
</file>